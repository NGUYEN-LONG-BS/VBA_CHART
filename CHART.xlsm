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7EF61C37-63C3-447B-83CD-31C861F27E8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harts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F7" i="2" s="1"/>
  <c r="U6" i="2"/>
  <c r="U7" i="2" s="1"/>
  <c r="K5" i="2"/>
  <c r="K7" i="2" s="1"/>
  <c r="B5" i="2"/>
  <c r="B6" i="2" s="1"/>
</calcChain>
</file>

<file path=xl/sharedStrings.xml><?xml version="1.0" encoding="utf-8"?>
<sst xmlns="http://schemas.openxmlformats.org/spreadsheetml/2006/main" count="17" uniqueCount="13">
  <si>
    <t>Service Level</t>
  </si>
  <si>
    <t>Battery Chart</t>
  </si>
  <si>
    <t>Speedomert Chart</t>
  </si>
  <si>
    <t>Moving Man Chart</t>
  </si>
  <si>
    <t>Service Level Value</t>
  </si>
  <si>
    <t>Progress Circle</t>
  </si>
  <si>
    <t>Transparent Area</t>
  </si>
  <si>
    <t>Needle Value</t>
  </si>
  <si>
    <t>Image Width</t>
  </si>
  <si>
    <t>Upper Cap</t>
  </si>
  <si>
    <t>Blank Area</t>
  </si>
  <si>
    <t>Remaining Part</t>
  </si>
  <si>
    <t>Lower 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</si>
</sst>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9" fontId="1" fillId="0" borderId="0" xfId="0" applyNumberFormat="1" applyFont="1"/>
    <xf numFmtId="0" fontId="0" fillId="0" borderId="1" xfId="0" applyBorder="1"/>
    <xf numFmtId="9" fontId="0" fillId="0" borderId="1" xfId="0" applyNumberFormat="1" applyBorder="1"/>
    <xf numFmtId="9" fontId="1" fillId="0" borderId="1" xfId="0" applyNumberFormat="1" applyFont="1" applyBorder="1"/>
    <xf numFmtId="9" fontId="0" fillId="2" borderId="1" xfId="0" applyNumberFormat="1" applyFill="1" applyBorder="1"/>
    <xf numFmtId="9" fontId="1" fillId="2" borderId="1" xfId="0" applyNumberFormat="1" applyFont="1" applyFill="1" applyBorder="1"/>
    <xf numFmtId="10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2"/>
          <c:order val="0"/>
          <c:tx>
            <c:strRef>
              <c:f>Charts!$A$7</c:f>
              <c:strCache>
                <c:ptCount val="1"/>
                <c:pt idx="0">
                  <c:v>Upper 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F14-462C-B71C-03C1142F03A8}"/>
              </c:ext>
            </c:extLst>
          </c:dPt>
          <c:val>
            <c:numRef>
              <c:f>Charts!$B$7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14-462C-B71C-03C1142F03A8}"/>
            </c:ext>
          </c:extLst>
        </c:ser>
        <c:ser>
          <c:idx val="0"/>
          <c:order val="1"/>
          <c:tx>
            <c:strRef>
              <c:f>Charts!$A$5</c:f>
              <c:strCache>
                <c:ptCount val="1"/>
                <c:pt idx="0">
                  <c:v>Service Level Value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08020050125316"/>
                      <c:h val="9.864686755079574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F14-462C-B71C-03C1142F03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Charts!$B$5</c:f>
              <c:numCache>
                <c:formatCode>0%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14-462C-B71C-03C1142F03A8}"/>
            </c:ext>
          </c:extLst>
        </c:ser>
        <c:ser>
          <c:idx val="1"/>
          <c:order val="2"/>
          <c:tx>
            <c:strRef>
              <c:f>Charts!$A$6</c:f>
              <c:strCache>
                <c:ptCount val="1"/>
                <c:pt idx="0">
                  <c:v>Transparent Area</c:v>
                </c:pt>
              </c:strCache>
            </c:strRef>
          </c:tx>
          <c:spPr>
            <a:solidFill>
              <a:srgbClr val="002060">
                <a:alpha val="20000"/>
              </a:srgbClr>
            </a:solidFill>
            <a:ln>
              <a:noFill/>
            </a:ln>
            <a:effectLst/>
            <a:sp3d/>
          </c:spPr>
          <c:invertIfNegative val="0"/>
          <c:val>
            <c:numRef>
              <c:f>Charts!$B$6</c:f>
              <c:numCache>
                <c:formatCode>0%</c:formatCode>
                <c:ptCount val="1"/>
                <c:pt idx="0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14-462C-B71C-03C1142F03A8}"/>
            </c:ext>
          </c:extLst>
        </c:ser>
        <c:ser>
          <c:idx val="3"/>
          <c:order val="3"/>
          <c:tx>
            <c:strRef>
              <c:f>Charts!$A$8</c:f>
              <c:strCache>
                <c:ptCount val="1"/>
                <c:pt idx="0">
                  <c:v>Lower 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F14-462C-B71C-03C1142F03A8}"/>
              </c:ext>
            </c:extLst>
          </c:dPt>
          <c:val>
            <c:numRef>
              <c:f>Charts!$B$8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14-462C-B71C-03C1142F0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0"/>
        <c:shape val="cylinder"/>
        <c:axId val="224582504"/>
        <c:axId val="224582896"/>
        <c:axId val="0"/>
      </c:bar3DChart>
      <c:catAx>
        <c:axId val="224582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4582896"/>
        <c:crosses val="autoZero"/>
        <c:auto val="1"/>
        <c:lblAlgn val="ctr"/>
        <c:lblOffset val="100"/>
        <c:noMultiLvlLbl val="0"/>
      </c:catAx>
      <c:valAx>
        <c:axId val="224582896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22458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41-4749-B1DC-A6EB8A03AED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41-4749-B1DC-A6EB8A03AED7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41-4749-B1DC-A6EB8A03AED7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741-4749-B1DC-A6EB8A03AED7}"/>
              </c:ext>
            </c:extLst>
          </c:dPt>
          <c:dPt>
            <c:idx val="4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741-4749-B1DC-A6EB8A03AED7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741-4749-B1DC-A6EB8A03AED7}"/>
              </c:ext>
            </c:extLst>
          </c:dPt>
          <c:dPt>
            <c:idx val="6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741-4749-B1DC-A6EB8A03AED7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741-4749-B1DC-A6EB8A03AED7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741-4749-B1DC-A6EB8A03AED7}"/>
              </c:ext>
            </c:extLst>
          </c:dPt>
          <c:dPt>
            <c:idx val="9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741-4749-B1DC-A6EB8A03AED7}"/>
              </c:ext>
            </c:extLst>
          </c:dPt>
          <c:dPt>
            <c:idx val="1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741-4749-B1DC-A6EB8A03AED7}"/>
              </c:ext>
            </c:extLst>
          </c:dPt>
          <c:cat>
            <c:strRef>
              <c:f>Charts!$E$5:$E$7</c:f>
              <c:strCache>
                <c:ptCount val="3"/>
                <c:pt idx="0">
                  <c:v>Service Level</c:v>
                </c:pt>
                <c:pt idx="1">
                  <c:v>Needle Value</c:v>
                </c:pt>
                <c:pt idx="2">
                  <c:v>Blank Area</c:v>
                </c:pt>
              </c:strCache>
            </c:strRef>
          </c:cat>
          <c:val>
            <c:numLit>
              <c:formatCode>General</c:formatCode>
              <c:ptCount val="11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16-8741-4749-B1DC-A6EB8A03A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pieChart>
        <c:varyColors val="1"/>
        <c:ser>
          <c:idx val="1"/>
          <c:order val="1"/>
          <c:tx>
            <c:strRef>
              <c:f>Charts!$E$5</c:f>
              <c:strCache>
                <c:ptCount val="1"/>
                <c:pt idx="0">
                  <c:v>Service Level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8741-4749-B1DC-A6EB8A03AED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dk1"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8741-4749-B1DC-A6EB8A03AED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8741-4749-B1DC-A6EB8A03AED7}"/>
              </c:ext>
            </c:extLst>
          </c:dPt>
          <c:cat>
            <c:strRef>
              <c:f>Charts!$E$5:$E$7</c:f>
              <c:strCache>
                <c:ptCount val="3"/>
                <c:pt idx="0">
                  <c:v>Service Level</c:v>
                </c:pt>
                <c:pt idx="1">
                  <c:v>Needle Value</c:v>
                </c:pt>
                <c:pt idx="2">
                  <c:v>Blank Area</c:v>
                </c:pt>
              </c:strCache>
            </c:strRef>
          </c:cat>
          <c:val>
            <c:numRef>
              <c:f>Charts!$F$5:$F$7</c:f>
              <c:numCache>
                <c:formatCode>0%</c:formatCode>
                <c:ptCount val="3"/>
                <c:pt idx="0">
                  <c:v>0.62</c:v>
                </c:pt>
                <c:pt idx="1">
                  <c:v>0.01</c:v>
                </c:pt>
                <c:pt idx="2" formatCode="0.00%">
                  <c:v>1.37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741-4749-B1DC-A6EB8A03A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Charts!$J$5</c:f>
              <c:strCache>
                <c:ptCount val="1"/>
                <c:pt idx="0">
                  <c:v>Service Level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Charts!$K$5</c:f>
              <c:numCache>
                <c:formatCode>0%</c:formatCode>
                <c:ptCount val="1"/>
                <c:pt idx="0">
                  <c:v>0.59499999999999997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D3-48AA-AE93-EE1D5E84C386}"/>
            </c:ext>
          </c:extLst>
        </c:ser>
        <c:ser>
          <c:idx val="1"/>
          <c:order val="1"/>
          <c:tx>
            <c:strRef>
              <c:f>Charts!$J$6</c:f>
              <c:strCache>
                <c:ptCount val="1"/>
                <c:pt idx="0">
                  <c:v>Image Width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777777777777676E-3"/>
                  <c:y val="-0.29260566567110147"/>
                </c:manualLayout>
              </c:layout>
              <c:tx>
                <c:strRef>
                  <c:f>Charts!$B$1</c:f>
                  <c:strCache>
                    <c:ptCount val="1"/>
                    <c:pt idx="0">
                      <c:v>62%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{F9F4C95E-6FDA-402F-9BA0-BC40437E7CD1}</c15:txfldGUID>
                      <c15:f>Charts!$B$1</c15:f>
                      <c15:dlblFieldTableCache>
                        <c:ptCount val="1"/>
                        <c:pt idx="0">
                          <c:v>62%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0D3-48AA-AE93-EE1D5E84C3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Charts!$K$6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D3-48AA-AE93-EE1D5E84C386}"/>
            </c:ext>
          </c:extLst>
        </c:ser>
        <c:ser>
          <c:idx val="2"/>
          <c:order val="2"/>
          <c:tx>
            <c:strRef>
              <c:f>Charts!$J$7</c:f>
              <c:strCache>
                <c:ptCount val="1"/>
                <c:pt idx="0">
                  <c:v>Remaining Part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Charts!$K$7</c:f>
              <c:numCache>
                <c:formatCode>0%</c:formatCode>
                <c:ptCount val="1"/>
                <c:pt idx="0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D3-48AA-AE93-EE1D5E84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30463568"/>
        <c:axId val="230462784"/>
      </c:barChart>
      <c:catAx>
        <c:axId val="2304635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30462784"/>
        <c:crosses val="autoZero"/>
        <c:auto val="1"/>
        <c:lblAlgn val="ctr"/>
        <c:lblOffset val="100"/>
        <c:noMultiLvlLbl val="0"/>
      </c:catAx>
      <c:valAx>
        <c:axId val="230462784"/>
        <c:scaling>
          <c:orientation val="minMax"/>
          <c:max val="1.03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463568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002060"/>
            </a:solidFill>
          </c:spPr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2C3-4EB6-B7A7-D798CB4A1033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2C3-4EB6-B7A7-D798CB4A1033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2C3-4EB6-B7A7-D798CB4A1033}"/>
              </c:ext>
            </c:extLst>
          </c:dPt>
          <c:dPt>
            <c:idx val="3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2C3-4EB6-B7A7-D798CB4A1033}"/>
              </c:ext>
            </c:extLst>
          </c:dPt>
          <c:dPt>
            <c:idx val="4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2C3-4EB6-B7A7-D798CB4A1033}"/>
              </c:ext>
            </c:extLst>
          </c:dPt>
          <c:dPt>
            <c:idx val="5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2C3-4EB6-B7A7-D798CB4A1033}"/>
              </c:ext>
            </c:extLst>
          </c:dPt>
          <c:dPt>
            <c:idx val="6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2C3-4EB6-B7A7-D798CB4A1033}"/>
              </c:ext>
            </c:extLst>
          </c:dPt>
          <c:dPt>
            <c:idx val="7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2C3-4EB6-B7A7-D798CB4A1033}"/>
              </c:ext>
            </c:extLst>
          </c:dPt>
          <c:dPt>
            <c:idx val="8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2C3-4EB6-B7A7-D798CB4A1033}"/>
              </c:ext>
            </c:extLst>
          </c:dPt>
          <c:dPt>
            <c:idx val="9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2C3-4EB6-B7A7-D798CB4A1033}"/>
              </c:ext>
            </c:extLst>
          </c:dPt>
          <c:dPt>
            <c:idx val="1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2C3-4EB6-B7A7-D798CB4A1033}"/>
              </c:ext>
            </c:extLst>
          </c:dPt>
          <c:dPt>
            <c:idx val="1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2C3-4EB6-B7A7-D798CB4A1033}"/>
              </c:ext>
            </c:extLst>
          </c:dPt>
          <c:dPt>
            <c:idx val="12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2C3-4EB6-B7A7-D798CB4A1033}"/>
              </c:ext>
            </c:extLst>
          </c:dPt>
          <c:dPt>
            <c:idx val="13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2C3-4EB6-B7A7-D798CB4A1033}"/>
              </c:ext>
            </c:extLst>
          </c:dPt>
          <c:dPt>
            <c:idx val="14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2C3-4EB6-B7A7-D798CB4A1033}"/>
              </c:ext>
            </c:extLst>
          </c:dPt>
          <c:dPt>
            <c:idx val="15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2C3-4EB6-B7A7-D798CB4A1033}"/>
              </c:ext>
            </c:extLst>
          </c:dPt>
          <c:dPt>
            <c:idx val="16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92C3-4EB6-B7A7-D798CB4A1033}"/>
              </c:ext>
            </c:extLst>
          </c:dPt>
          <c:dPt>
            <c:idx val="17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92C3-4EB6-B7A7-D798CB4A1033}"/>
              </c:ext>
            </c:extLst>
          </c:dPt>
          <c:dPt>
            <c:idx val="18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92C3-4EB6-B7A7-D798CB4A1033}"/>
              </c:ext>
            </c:extLst>
          </c:dPt>
          <c:dPt>
            <c:idx val="19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92C3-4EB6-B7A7-D798CB4A1033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92C3-4EB6-B7A7-D798CB4A1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Charts!$T$6</c:f>
              <c:strCache>
                <c:ptCount val="1"/>
                <c:pt idx="0">
                  <c:v>Service Level</c:v>
                </c:pt>
              </c:strCache>
            </c:strRef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92C3-4EB6-B7A7-D798CB4A1033}"/>
              </c:ext>
            </c:extLst>
          </c:dPt>
          <c:dPt>
            <c:idx val="1"/>
            <c:bubble3D val="0"/>
            <c:spPr>
              <a:solidFill>
                <a:schemeClr val="bg1">
                  <a:alpha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92C3-4EB6-B7A7-D798CB4A1033}"/>
              </c:ext>
            </c:extLst>
          </c:dPt>
          <c:val>
            <c:numRef>
              <c:f>Charts!$U$6:$U$7</c:f>
              <c:numCache>
                <c:formatCode>0%</c:formatCode>
                <c:ptCount val="2"/>
                <c:pt idx="0">
                  <c:v>0.62</c:v>
                </c:pt>
                <c:pt idx="1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2C3-4EB6-B7A7-D798CB4A1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9</xdr:row>
      <xdr:rowOff>0</xdr:rowOff>
    </xdr:from>
    <xdr:to>
      <xdr:col>1</xdr:col>
      <xdr:colOff>120650</xdr:colOff>
      <xdr:row>19</xdr:row>
      <xdr:rowOff>114300</xdr:rowOff>
    </xdr:to>
    <xdr:graphicFrame macro="">
      <xdr:nvGraphicFramePr>
        <xdr:cNvPr id="2" name="Battery 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169862</xdr:colOff>
      <xdr:row>8</xdr:row>
      <xdr:rowOff>42862</xdr:rowOff>
    </xdr:from>
    <xdr:to>
      <xdr:col>5</xdr:col>
      <xdr:colOff>346075</xdr:colOff>
      <xdr:row>22</xdr:row>
      <xdr:rowOff>152400</xdr:rowOff>
    </xdr:to>
    <xdr:graphicFrame macro="">
      <xdr:nvGraphicFramePr>
        <xdr:cNvPr id="3" name="Speedometer 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1</xdr:row>
      <xdr:rowOff>19050</xdr:rowOff>
    </xdr:from>
    <xdr:to>
      <xdr:col>24</xdr:col>
      <xdr:colOff>365760</xdr:colOff>
      <xdr:row>4</xdr:row>
      <xdr:rowOff>165735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6916400" y="209550"/>
          <a:ext cx="365760" cy="718185"/>
          <a:chOff x="11534775" y="190500"/>
          <a:chExt cx="365760" cy="718185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1534775" y="542925"/>
            <a:ext cx="365760" cy="365760"/>
          </a:xfrm>
          <a:prstGeom prst="ellipse">
            <a:avLst/>
          </a:prstGeom>
          <a:solidFill>
            <a:schemeClr val="accent4"/>
          </a:solidFill>
          <a:ln>
            <a:noFill/>
          </a:ln>
          <a:scene3d>
            <a:camera prst="perspectiveRelaxedModerately">
              <a:rot lat="17400000" lon="0" rev="0"/>
            </a:camera>
            <a:lightRig rig="threePt" dir="t"/>
          </a:scene3d>
          <a:sp3d extrusionH="63500"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937" t="12605" r="75255" b="37815"/>
          <a:stretch/>
        </xdr:blipFill>
        <xdr:spPr bwMode="auto">
          <a:xfrm>
            <a:off x="11534775" y="190500"/>
            <a:ext cx="361951" cy="5619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428625</xdr:colOff>
      <xdr:row>10</xdr:row>
      <xdr:rowOff>28575</xdr:rowOff>
    </xdr:from>
    <xdr:to>
      <xdr:col>13</xdr:col>
      <xdr:colOff>123825</xdr:colOff>
      <xdr:row>14</xdr:row>
      <xdr:rowOff>95250</xdr:rowOff>
    </xdr:to>
    <xdr:graphicFrame macro="">
      <xdr:nvGraphicFramePr>
        <xdr:cNvPr id="7" name="Moving Man Char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38100</xdr:colOff>
      <xdr:row>1</xdr:row>
      <xdr:rowOff>177800</xdr:rowOff>
    </xdr:from>
    <xdr:to>
      <xdr:col>15</xdr:col>
      <xdr:colOff>431800</xdr:colOff>
      <xdr:row>11</xdr:row>
      <xdr:rowOff>19050</xdr:rowOff>
    </xdr:to>
    <xdr:graphicFrame macro="">
      <xdr:nvGraphicFramePr>
        <xdr:cNvPr id="8" name="Progress Circle Char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1</xdr:row>
          <xdr:rowOff>161925</xdr:rowOff>
        </xdr:from>
        <xdr:to>
          <xdr:col>8</xdr:col>
          <xdr:colOff>104775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3</xdr:row>
          <xdr:rowOff>123825</xdr:rowOff>
        </xdr:from>
        <xdr:to>
          <xdr:col>8</xdr:col>
          <xdr:colOff>104775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0.40602</cdr:x>
      <cdr:y>0.11661</cdr:y>
    </cdr:from>
    <cdr:to>
      <cdr:x>0.61654</cdr:x>
      <cdr:y>0.17587</cdr:y>
    </cdr:to>
    <cdr:sp macro="" textlink="">
      <cdr:nvSpPr>
        <cdr:cNvPr id="2" name="Flowchart: Magnetic Disk 1"/>
        <cdr:cNvSpPr/>
      </cdr:nvSpPr>
      <cdr:spPr>
        <a:xfrm xmlns:a="http://schemas.openxmlformats.org/drawingml/2006/main">
          <a:off x="514355" y="308773"/>
          <a:ext cx="266692" cy="156918"/>
        </a:xfrm>
        <a:prstGeom xmlns:a="http://schemas.openxmlformats.org/drawingml/2006/main" prst="flowChartMagneticDisk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0.45263</cdr:x>
      <cdr:y>0.40652</cdr:y>
    </cdr:from>
    <cdr:to>
      <cdr:x>0.55188</cdr:x>
      <cdr:y>0.51973</cdr:y>
    </cdr:to>
    <cdr:sp macro="" textlink="">
      <cdr:nvSpPr>
        <cdr:cNvPr id="2" name="Oval 1"/>
        <cdr:cNvSpPr/>
      </cdr:nvSpPr>
      <cdr:spPr>
        <a:xfrm xmlns:a="http://schemas.openxmlformats.org/drawingml/2006/main">
          <a:off x="1433513" y="1128713"/>
          <a:ext cx="314325" cy="314325"/>
        </a:xfrm>
        <a:prstGeom xmlns:a="http://schemas.openxmlformats.org/drawingml/2006/main" prst="ellipse">
          <a:avLst/>
        </a:prstGeom>
        <a:ln xmlns:a="http://schemas.openxmlformats.org/drawingml/2006/main"/>
      </cdr:spPr>
      <cdr:style>
        <a:lnRef xmlns:a="http://schemas.openxmlformats.org/drawingml/2006/main" idx="0">
          <a:schemeClr val="dk1"/>
        </a:lnRef>
        <a:fillRef xmlns:a="http://schemas.openxmlformats.org/drawingml/2006/main" idx="3">
          <a:schemeClr val="dk1"/>
        </a:fillRef>
        <a:effectRef xmlns:a="http://schemas.openxmlformats.org/drawingml/2006/main" idx="3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0.38947</cdr:x>
      <cdr:y>0.5506</cdr:y>
    </cdr:from>
    <cdr:to>
      <cdr:x>0.62406</cdr:x>
      <cdr:y>0.65009</cdr:y>
    </cdr:to>
    <cdr:sp macro="" textlink="Charts!$F$5">
      <cdr:nvSpPr>
        <cdr:cNvPr id="3" name="Rounded Rectangle 2"/>
        <cdr:cNvSpPr/>
      </cdr:nvSpPr>
      <cdr:spPr>
        <a:xfrm xmlns:a="http://schemas.openxmlformats.org/drawingml/2006/main">
          <a:off x="1233488" y="1528763"/>
          <a:ext cx="742950" cy="276225"/>
        </a:xfrm>
        <a:prstGeom xmlns:a="http://schemas.openxmlformats.org/drawingml/2006/main" prst="roundRect">
          <a:avLst>
            <a:gd name="adj" fmla="val 50000"/>
          </a:avLst>
        </a:prstGeom>
      </cdr:spPr>
      <cdr:style>
        <a:lnRef xmlns:a="http://schemas.openxmlformats.org/drawingml/2006/main" idx="0">
          <a:schemeClr val="dk1"/>
        </a:lnRef>
        <a:fillRef xmlns:a="http://schemas.openxmlformats.org/drawingml/2006/main" idx="3">
          <a:schemeClr val="dk1"/>
        </a:fillRef>
        <a:effectRef xmlns:a="http://schemas.openxmlformats.org/drawingml/2006/main" idx="3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323C0DAD-FE5A-4522-96CF-0F339B7A33FD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62%</a:t>
          </a:fld>
          <a:endParaRPr lang="en-US" sz="1200" b="1">
            <a:solidFill>
              <a:schemeClr val="bg1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0.3069</cdr:x>
      <cdr:y>0.35586</cdr:y>
    </cdr:from>
    <cdr:to>
      <cdr:x>0.72414</cdr:x>
      <cdr:y>0.63419</cdr:y>
    </cdr:to>
    <cdr:sp macro="" textlink="Charts!$U$6">
      <cdr:nvSpPr>
        <cdr:cNvPr id="2" name="TextBox 1"/>
        <cdr:cNvSpPr txBox="1"/>
      </cdr:nvSpPr>
      <cdr:spPr>
        <a:xfrm xmlns:a="http://schemas.openxmlformats.org/drawingml/2006/main">
          <a:off x="847725" y="852488"/>
          <a:ext cx="1152525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F804471-C749-42D2-92AB-B2A65B678100}" type="TxLink">
            <a:rPr lang="en-US" sz="4000" b="1" i="0" u="none" strike="noStrike">
              <a:solidFill>
                <a:srgbClr val="002060"/>
              </a:solidFill>
              <a:latin typeface="Agency FB" panose="020B0503020202020204" pitchFamily="34" charset="0"/>
              <a:cs typeface="Calibri"/>
            </a:rPr>
            <a:pPr algn="ctr"/>
            <a:t>62%</a:t>
          </a:fld>
          <a:endParaRPr lang="en-US" sz="4000" b="1">
            <a:solidFill>
              <a:srgbClr val="002060"/>
            </a:solidFill>
            <a:latin typeface="Agency FB" panose="020B0503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7CDD4-F3E7-4DD1-B409-64B404CE87B0}">
  <sheetPr codeName="Sheet2"/>
  <dimension ref="A1:U8"/>
  <sheetViews>
    <sheetView showGridLines="0" tabSelected="1" workbookViewId="0">
      <selection activeCell="I10" sqref="I10"/>
    </sheetView>
  </sheetViews>
  <sheetFormatPr defaultRowHeight="15" x14ac:dyDescent="0.25"/>
  <cols>
    <col min="1" max="1" width="18.42578125" bestFit="1" customWidth="1"/>
    <col min="5" max="5" width="17.42578125" bestFit="1" customWidth="1"/>
    <col min="10" max="10" width="20.85546875" customWidth="1"/>
    <col min="20" max="20" width="14.140625" bestFit="1" customWidth="1"/>
  </cols>
  <sheetData>
    <row r="1" spans="1:21" x14ac:dyDescent="0.25">
      <c r="A1" t="s">
        <v>0</v>
      </c>
      <c r="B1" s="1">
        <v>0.62</v>
      </c>
    </row>
    <row r="4" spans="1:21" x14ac:dyDescent="0.25">
      <c r="A4" s="3" t="s">
        <v>1</v>
      </c>
      <c r="B4" s="3"/>
      <c r="E4" s="3" t="s">
        <v>2</v>
      </c>
      <c r="F4" s="3"/>
      <c r="J4" s="3" t="s">
        <v>3</v>
      </c>
      <c r="K4" s="3"/>
    </row>
    <row r="5" spans="1:21" x14ac:dyDescent="0.25">
      <c r="A5" s="3" t="s">
        <v>4</v>
      </c>
      <c r="B5" s="6">
        <f>B1</f>
        <v>0.62</v>
      </c>
      <c r="E5" s="3" t="s">
        <v>0</v>
      </c>
      <c r="F5" s="6">
        <f>+B1</f>
        <v>0.62</v>
      </c>
      <c r="J5" s="3" t="s">
        <v>0</v>
      </c>
      <c r="K5" s="6">
        <f>B1-2.5%</f>
        <v>0.59499999999999997</v>
      </c>
      <c r="T5" t="s">
        <v>5</v>
      </c>
    </row>
    <row r="6" spans="1:21" x14ac:dyDescent="0.25">
      <c r="A6" s="3" t="s">
        <v>6</v>
      </c>
      <c r="B6" s="6">
        <f>1-B5</f>
        <v>0.38</v>
      </c>
      <c r="E6" s="3" t="s">
        <v>7</v>
      </c>
      <c r="F6" s="4">
        <v>0.01</v>
      </c>
      <c r="J6" s="3" t="s">
        <v>8</v>
      </c>
      <c r="K6" s="5">
        <v>0.05</v>
      </c>
      <c r="T6" t="s">
        <v>0</v>
      </c>
      <c r="U6" s="1">
        <f>B1</f>
        <v>0.62</v>
      </c>
    </row>
    <row r="7" spans="1:21" x14ac:dyDescent="0.25">
      <c r="A7" s="3" t="s">
        <v>9</v>
      </c>
      <c r="B7" s="4">
        <v>0.05</v>
      </c>
      <c r="E7" s="3" t="s">
        <v>10</v>
      </c>
      <c r="F7" s="8">
        <f>200%-SUM(F5:F6)</f>
        <v>1.37</v>
      </c>
      <c r="J7" s="3" t="s">
        <v>11</v>
      </c>
      <c r="K7" s="7">
        <f>100%-K5-2.5%</f>
        <v>0.38</v>
      </c>
      <c r="T7" t="s">
        <v>10</v>
      </c>
      <c r="U7" s="2">
        <f>100%-U6</f>
        <v>0.38</v>
      </c>
    </row>
    <row r="8" spans="1:21" x14ac:dyDescent="0.25">
      <c r="A8" s="3" t="s">
        <v>12</v>
      </c>
      <c r="B8" s="4">
        <v>0.05</v>
      </c>
      <c r="U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419100</xdr:colOff>
                    <xdr:row>1</xdr:row>
                    <xdr:rowOff>161925</xdr:rowOff>
                  </from>
                  <to>
                    <xdr:col>8</xdr:col>
                    <xdr:colOff>104775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419100</xdr:colOff>
                    <xdr:row>3</xdr:row>
                    <xdr:rowOff>123825</xdr:rowOff>
                  </from>
                  <to>
                    <xdr:col>8</xdr:col>
                    <xdr:colOff>104775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NGUYEN_LONG_BS</dc:creator>
  <cp:lastModifiedBy>Long Nguyễn</cp:lastModifiedBy>
  <dcterms:created xsi:type="dcterms:W3CDTF">2015-06-05T18:17:20Z</dcterms:created>
  <dcterms:modified xsi:type="dcterms:W3CDTF">2024-03-12T09:32:19Z</dcterms:modified>
</cp:coreProperties>
</file>